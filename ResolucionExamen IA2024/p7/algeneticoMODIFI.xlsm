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ja 1\Desktop\"/>
    </mc:Choice>
  </mc:AlternateContent>
  <xr:revisionPtr revIDLastSave="0" documentId="13_ncr:1_{BEE86D5B-101C-486F-A548-26E100619461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Hoja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5" roundtripDataChecksum="2AIeg/t/GgSFxGu1rbTyzWrFMjD32ofnDgIpVkVyANo="/>
    </ext>
  </extLst>
</workbook>
</file>

<file path=xl/calcChain.xml><?xml version="1.0" encoding="utf-8"?>
<calcChain xmlns="http://schemas.openxmlformats.org/spreadsheetml/2006/main">
  <c r="R7" i="1" l="1"/>
  <c r="R6" i="1"/>
  <c r="R8" i="1"/>
  <c r="R9" i="1"/>
  <c r="R10" i="1"/>
  <c r="R11" i="1"/>
  <c r="R12" i="1"/>
  <c r="R13" i="1"/>
  <c r="R14" i="1"/>
  <c r="R15" i="1"/>
  <c r="X22" i="1"/>
  <c r="X7" i="1"/>
  <c r="X8" i="1"/>
  <c r="X9" i="1"/>
  <c r="X10" i="1"/>
  <c r="X11" i="1"/>
  <c r="X12" i="1"/>
  <c r="X13" i="1"/>
  <c r="X14" i="1"/>
  <c r="X15" i="1"/>
  <c r="X6" i="1"/>
  <c r="L29" i="1"/>
  <c r="L30" i="1"/>
  <c r="L31" i="1"/>
  <c r="N31" i="1" s="1"/>
  <c r="L32" i="1"/>
  <c r="M32" i="1" s="1"/>
  <c r="L33" i="1"/>
  <c r="L34" i="1"/>
  <c r="L35" i="1"/>
  <c r="L36" i="1"/>
  <c r="M36" i="1" s="1"/>
  <c r="L37" i="1"/>
  <c r="N37" i="1" s="1"/>
  <c r="L28" i="1"/>
  <c r="T37" i="1"/>
  <c r="Q37" i="1"/>
  <c r="P37" i="1"/>
  <c r="M37" i="1"/>
  <c r="T36" i="1"/>
  <c r="Q36" i="1"/>
  <c r="P36" i="1"/>
  <c r="T35" i="1"/>
  <c r="Q35" i="1"/>
  <c r="P35" i="1"/>
  <c r="N35" i="1"/>
  <c r="M35" i="1"/>
  <c r="T34" i="1"/>
  <c r="Q34" i="1"/>
  <c r="P34" i="1"/>
  <c r="M34" i="1"/>
  <c r="T33" i="1"/>
  <c r="Q33" i="1"/>
  <c r="P33" i="1"/>
  <c r="N33" i="1"/>
  <c r="M33" i="1"/>
  <c r="T32" i="1"/>
  <c r="Q32" i="1"/>
  <c r="P32" i="1"/>
  <c r="T31" i="1"/>
  <c r="Q31" i="1"/>
  <c r="P31" i="1"/>
  <c r="T30" i="1"/>
  <c r="Q30" i="1"/>
  <c r="P30" i="1"/>
  <c r="M30" i="1"/>
  <c r="T29" i="1"/>
  <c r="Q29" i="1"/>
  <c r="P29" i="1"/>
  <c r="N29" i="1"/>
  <c r="M29" i="1"/>
  <c r="T28" i="1"/>
  <c r="Q28" i="1"/>
  <c r="P28" i="1"/>
  <c r="N28" i="1"/>
  <c r="N6" i="1"/>
  <c r="Q6" i="1"/>
  <c r="N17" i="1"/>
  <c r="Q17" i="1"/>
  <c r="L18" i="1"/>
  <c r="L19" i="1"/>
  <c r="L20" i="1"/>
  <c r="L21" i="1"/>
  <c r="M21" i="1" s="1"/>
  <c r="L22" i="1"/>
  <c r="M22" i="1" s="1"/>
  <c r="L23" i="1"/>
  <c r="L24" i="1"/>
  <c r="L25" i="1"/>
  <c r="M25" i="1" s="1"/>
  <c r="L26" i="1"/>
  <c r="M26" i="1" s="1"/>
  <c r="L17" i="1"/>
  <c r="M17" i="1"/>
  <c r="T7" i="1"/>
  <c r="Q18" i="1"/>
  <c r="Q19" i="1"/>
  <c r="Q20" i="1"/>
  <c r="Q21" i="1"/>
  <c r="Q22" i="1"/>
  <c r="Q23" i="1"/>
  <c r="Q24" i="1"/>
  <c r="Q25" i="1"/>
  <c r="Q26" i="1"/>
  <c r="N18" i="1"/>
  <c r="N19" i="1"/>
  <c r="N20" i="1"/>
  <c r="N22" i="1"/>
  <c r="N23" i="1"/>
  <c r="N24" i="1"/>
  <c r="N26" i="1"/>
  <c r="Q7" i="1"/>
  <c r="Q8" i="1"/>
  <c r="Q9" i="1"/>
  <c r="Q10" i="1"/>
  <c r="Q11" i="1"/>
  <c r="Q12" i="1"/>
  <c r="Q13" i="1"/>
  <c r="Q14" i="1"/>
  <c r="Q15" i="1"/>
  <c r="N7" i="1"/>
  <c r="N8" i="1"/>
  <c r="N9" i="1"/>
  <c r="N10" i="1"/>
  <c r="N11" i="1"/>
  <c r="N12" i="1"/>
  <c r="N13" i="1"/>
  <c r="N14" i="1"/>
  <c r="N15" i="1"/>
  <c r="T26" i="1"/>
  <c r="P26" i="1"/>
  <c r="T25" i="1"/>
  <c r="P25" i="1"/>
  <c r="T24" i="1"/>
  <c r="P24" i="1"/>
  <c r="M24" i="1"/>
  <c r="T23" i="1"/>
  <c r="P23" i="1"/>
  <c r="M23" i="1"/>
  <c r="T22" i="1"/>
  <c r="P22" i="1"/>
  <c r="T21" i="1"/>
  <c r="P21" i="1"/>
  <c r="T20" i="1"/>
  <c r="P20" i="1"/>
  <c r="M20" i="1"/>
  <c r="T19" i="1"/>
  <c r="P19" i="1"/>
  <c r="M19" i="1"/>
  <c r="T18" i="1"/>
  <c r="P18" i="1"/>
  <c r="M18" i="1"/>
  <c r="T17" i="1"/>
  <c r="P17" i="1"/>
  <c r="T15" i="1"/>
  <c r="P15" i="1"/>
  <c r="W15" i="1" s="1"/>
  <c r="M15" i="1"/>
  <c r="T14" i="1"/>
  <c r="P14" i="1"/>
  <c r="W14" i="1" s="1"/>
  <c r="M14" i="1"/>
  <c r="T13" i="1"/>
  <c r="P13" i="1"/>
  <c r="W13" i="1" s="1"/>
  <c r="M13" i="1"/>
  <c r="T12" i="1"/>
  <c r="P12" i="1"/>
  <c r="W12" i="1" s="1"/>
  <c r="M12" i="1"/>
  <c r="T11" i="1"/>
  <c r="P11" i="1"/>
  <c r="W11" i="1" s="1"/>
  <c r="M11" i="1"/>
  <c r="T10" i="1"/>
  <c r="P10" i="1"/>
  <c r="W10" i="1" s="1"/>
  <c r="M10" i="1"/>
  <c r="T9" i="1"/>
  <c r="P9" i="1"/>
  <c r="W9" i="1" s="1"/>
  <c r="M9" i="1"/>
  <c r="T8" i="1"/>
  <c r="P8" i="1"/>
  <c r="W8" i="1" s="1"/>
  <c r="M8" i="1"/>
  <c r="P7" i="1"/>
  <c r="W7" i="1" s="1"/>
  <c r="M7" i="1"/>
  <c r="T6" i="1"/>
  <c r="P6" i="1"/>
  <c r="W6" i="1" s="1"/>
  <c r="M6" i="1"/>
  <c r="C4" i="1"/>
  <c r="B4" i="1"/>
  <c r="I24" i="1"/>
  <c r="F24" i="1"/>
  <c r="E24" i="1"/>
  <c r="C24" i="1"/>
  <c r="B24" i="1"/>
  <c r="I23" i="1"/>
  <c r="F23" i="1"/>
  <c r="E23" i="1"/>
  <c r="C23" i="1"/>
  <c r="B23" i="1"/>
  <c r="I22" i="1"/>
  <c r="F22" i="1"/>
  <c r="E22" i="1"/>
  <c r="C22" i="1"/>
  <c r="B22" i="1"/>
  <c r="I21" i="1"/>
  <c r="F21" i="1"/>
  <c r="E21" i="1"/>
  <c r="C21" i="1"/>
  <c r="B21" i="1"/>
  <c r="I20" i="1"/>
  <c r="F20" i="1"/>
  <c r="E20" i="1"/>
  <c r="C20" i="1"/>
  <c r="B20" i="1"/>
  <c r="I19" i="1"/>
  <c r="F19" i="1"/>
  <c r="E19" i="1"/>
  <c r="C19" i="1"/>
  <c r="B19" i="1"/>
  <c r="I18" i="1"/>
  <c r="F18" i="1"/>
  <c r="E18" i="1"/>
  <c r="C18" i="1"/>
  <c r="B18" i="1"/>
  <c r="I17" i="1"/>
  <c r="F17" i="1"/>
  <c r="E17" i="1"/>
  <c r="C17" i="1"/>
  <c r="B17" i="1"/>
  <c r="I16" i="1"/>
  <c r="F16" i="1"/>
  <c r="E16" i="1"/>
  <c r="C16" i="1"/>
  <c r="B16" i="1"/>
  <c r="I15" i="1"/>
  <c r="F15" i="1"/>
  <c r="E15" i="1"/>
  <c r="C15" i="1"/>
  <c r="B15" i="1"/>
  <c r="I13" i="1"/>
  <c r="F13" i="1"/>
  <c r="E13" i="1"/>
  <c r="C13" i="1"/>
  <c r="B13" i="1"/>
  <c r="I12" i="1"/>
  <c r="F12" i="1"/>
  <c r="E12" i="1"/>
  <c r="C12" i="1"/>
  <c r="B12" i="1"/>
  <c r="I11" i="1"/>
  <c r="F11" i="1"/>
  <c r="E11" i="1"/>
  <c r="C11" i="1"/>
  <c r="B11" i="1"/>
  <c r="I10" i="1"/>
  <c r="F10" i="1"/>
  <c r="E10" i="1"/>
  <c r="C10" i="1"/>
  <c r="B10" i="1"/>
  <c r="I9" i="1"/>
  <c r="F9" i="1"/>
  <c r="E9" i="1"/>
  <c r="C9" i="1"/>
  <c r="B9" i="1"/>
  <c r="I8" i="1"/>
  <c r="F8" i="1"/>
  <c r="E8" i="1"/>
  <c r="C8" i="1"/>
  <c r="B8" i="1"/>
  <c r="I7" i="1"/>
  <c r="F7" i="1"/>
  <c r="E7" i="1"/>
  <c r="C7" i="1"/>
  <c r="B7" i="1"/>
  <c r="I6" i="1"/>
  <c r="F6" i="1"/>
  <c r="E6" i="1"/>
  <c r="C6" i="1"/>
  <c r="B6" i="1"/>
  <c r="I5" i="1"/>
  <c r="F5" i="1"/>
  <c r="E5" i="1"/>
  <c r="C5" i="1"/>
  <c r="B5" i="1"/>
  <c r="I4" i="1"/>
  <c r="F4" i="1"/>
  <c r="E4" i="1"/>
  <c r="M31" i="1" l="1"/>
  <c r="M28" i="1"/>
  <c r="N30" i="1"/>
  <c r="N32" i="1"/>
  <c r="N34" i="1"/>
  <c r="N36" i="1"/>
  <c r="N25" i="1"/>
  <c r="N21" i="1"/>
</calcChain>
</file>

<file path=xl/sharedStrings.xml><?xml version="1.0" encoding="utf-8"?>
<sst xmlns="http://schemas.openxmlformats.org/spreadsheetml/2006/main" count="147" uniqueCount="38">
  <si>
    <r>
      <rPr>
        <sz val="11"/>
        <color theme="1"/>
        <rFont val="Calibri"/>
      </rPr>
      <t>f(x)=x</t>
    </r>
    <r>
      <rPr>
        <vertAlign val="superscript"/>
        <sz val="11"/>
        <color theme="1"/>
        <rFont val="Calibri"/>
      </rPr>
      <t>2</t>
    </r>
    <r>
      <rPr>
        <sz val="11"/>
        <color theme="1"/>
        <rFont val="Calibri"/>
      </rPr>
      <t>+1</t>
    </r>
  </si>
  <si>
    <t>x pertenece a Enteros+</t>
  </si>
  <si>
    <t>Aplicación inicial</t>
  </si>
  <si>
    <t>Operador de selección</t>
  </si>
  <si>
    <t>Cruce</t>
  </si>
  <si>
    <t>Mutacion</t>
  </si>
  <si>
    <t>Poblacion 0</t>
  </si>
  <si>
    <t>fenotipo</t>
  </si>
  <si>
    <t>Funcion objetivo</t>
  </si>
  <si>
    <t>Poblacion</t>
  </si>
  <si>
    <t>Poblacion 1</t>
  </si>
  <si>
    <r>
      <rPr>
        <sz val="11"/>
        <color rgb="FF0070C0"/>
        <rFont val="Calibri"/>
      </rPr>
      <t>010</t>
    </r>
    <r>
      <rPr>
        <sz val="11"/>
        <color theme="1"/>
        <rFont val="Calibri"/>
      </rPr>
      <t>011</t>
    </r>
  </si>
  <si>
    <t>011011</t>
  </si>
  <si>
    <r>
      <rPr>
        <sz val="11"/>
        <color rgb="FF0070C0"/>
        <rFont val="Calibri"/>
      </rPr>
      <t>010</t>
    </r>
    <r>
      <rPr>
        <sz val="11"/>
        <color theme="1"/>
        <rFont val="Calibri"/>
      </rPr>
      <t>100</t>
    </r>
  </si>
  <si>
    <t>011100</t>
  </si>
  <si>
    <r>
      <rPr>
        <sz val="11"/>
        <color rgb="FF0070C0"/>
        <rFont val="Calibri"/>
      </rPr>
      <t>001</t>
    </r>
    <r>
      <rPr>
        <sz val="11"/>
        <color theme="1"/>
        <rFont val="Calibri"/>
      </rPr>
      <t>111</t>
    </r>
  </si>
  <si>
    <t>000111</t>
  </si>
  <si>
    <r>
      <rPr>
        <sz val="11"/>
        <color rgb="FF0070C0"/>
        <rFont val="Calibri"/>
      </rPr>
      <t>000</t>
    </r>
    <r>
      <rPr>
        <sz val="11"/>
        <color theme="1"/>
        <rFont val="Calibri"/>
      </rPr>
      <t>110</t>
    </r>
  </si>
  <si>
    <t>001110</t>
  </si>
  <si>
    <t>000101</t>
  </si>
  <si>
    <t>001101</t>
  </si>
  <si>
    <t>001111</t>
  </si>
  <si>
    <t>000011</t>
  </si>
  <si>
    <t>001011</t>
  </si>
  <si>
    <t>000000</t>
  </si>
  <si>
    <t>001000</t>
  </si>
  <si>
    <t>000001</t>
  </si>
  <si>
    <t>001001</t>
  </si>
  <si>
    <t>Poblacion2</t>
  </si>
  <si>
    <t>011111</t>
  </si>
  <si>
    <t>011101</t>
  </si>
  <si>
    <t>011000</t>
  </si>
  <si>
    <t>011010</t>
  </si>
  <si>
    <t>001100</t>
  </si>
  <si>
    <t>000100</t>
  </si>
  <si>
    <t>000110</t>
  </si>
  <si>
    <t>FUNCION</t>
  </si>
  <si>
    <t xml:space="preserve">IN: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</si>
</sst>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scheme val="minor"/>
    </font>
    <font>
      <sz val="11"/>
      <color theme="1"/>
      <name val="Calibri"/>
    </font>
    <font>
      <sz val="11"/>
      <name val="Calibri"/>
    </font>
    <font>
      <sz val="8"/>
      <color theme="1"/>
      <name val="Calibri"/>
    </font>
    <font>
      <sz val="11"/>
      <color rgb="FF0070C0"/>
      <name val="Calibri"/>
    </font>
    <font>
      <vertAlign val="superscript"/>
      <sz val="11"/>
      <color theme="1"/>
      <name val="Calibri"/>
    </font>
    <font>
      <sz val="11"/>
      <color theme="1"/>
      <name val="Calibri"/>
      <family val="2"/>
    </font>
    <font>
      <sz val="11"/>
      <color theme="4" tint="-0.249977111117893"/>
      <name val="Calibri"/>
      <family val="2"/>
    </font>
    <font>
      <sz val="11"/>
      <color theme="5" tint="-0.249977111117893"/>
      <name val="Calibri"/>
      <family val="2"/>
    </font>
    <font>
      <sz val="11"/>
      <color rgb="FF0070C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1" xfId="0" applyFont="1" applyBorder="1"/>
    <xf numFmtId="0" fontId="1" fillId="0" borderId="5" xfId="0" applyFont="1" applyBorder="1"/>
    <xf numFmtId="0" fontId="1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1" fillId="0" borderId="12" xfId="0" applyFont="1" applyBorder="1"/>
    <xf numFmtId="0" fontId="1" fillId="0" borderId="13" xfId="0" applyFont="1" applyBorder="1"/>
    <xf numFmtId="0" fontId="1" fillId="0" borderId="14" xfId="0" applyFont="1" applyBorder="1" applyAlignment="1">
      <alignment horizontal="center"/>
    </xf>
    <xf numFmtId="0" fontId="1" fillId="0" borderId="14" xfId="0" applyFont="1" applyBorder="1"/>
    <xf numFmtId="49" fontId="4" fillId="0" borderId="6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0" fontId="1" fillId="0" borderId="15" xfId="0" applyFont="1" applyBorder="1"/>
    <xf numFmtId="0" fontId="1" fillId="0" borderId="16" xfId="0" applyFont="1" applyBorder="1"/>
    <xf numFmtId="0" fontId="1" fillId="0" borderId="17" xfId="0" applyFont="1" applyBorder="1" applyAlignment="1">
      <alignment horizontal="center"/>
    </xf>
    <xf numFmtId="0" fontId="1" fillId="0" borderId="17" xfId="0" applyFont="1" applyBorder="1"/>
    <xf numFmtId="49" fontId="1" fillId="0" borderId="6" xfId="0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8" xfId="0" applyFont="1" applyBorder="1"/>
    <xf numFmtId="0" fontId="1" fillId="0" borderId="19" xfId="0" applyFont="1" applyBorder="1"/>
    <xf numFmtId="0" fontId="1" fillId="0" borderId="20" xfId="0" applyFont="1" applyBorder="1"/>
    <xf numFmtId="0" fontId="1" fillId="0" borderId="19" xfId="0" applyFont="1" applyBorder="1" applyAlignment="1">
      <alignment horizontal="center"/>
    </xf>
    <xf numFmtId="49" fontId="1" fillId="0" borderId="21" xfId="0" applyNumberFormat="1" applyFont="1" applyBorder="1" applyAlignment="1">
      <alignment horizontal="center"/>
    </xf>
    <xf numFmtId="49" fontId="1" fillId="0" borderId="22" xfId="0" applyNumberFormat="1" applyFont="1" applyBorder="1" applyAlignment="1">
      <alignment horizontal="center"/>
    </xf>
    <xf numFmtId="0" fontId="1" fillId="0" borderId="23" xfId="0" applyFont="1" applyBorder="1"/>
    <xf numFmtId="0" fontId="6" fillId="0" borderId="1" xfId="0" applyFont="1" applyBorder="1"/>
    <xf numFmtId="0" fontId="6" fillId="0" borderId="1" xfId="0" applyFont="1" applyBorder="1" applyAlignment="1">
      <alignment horizontal="right"/>
    </xf>
    <xf numFmtId="0" fontId="3" fillId="2" borderId="7" xfId="0" applyFont="1" applyFill="1" applyBorder="1"/>
    <xf numFmtId="0" fontId="1" fillId="2" borderId="1" xfId="0" applyFont="1" applyFill="1" applyBorder="1"/>
    <xf numFmtId="0" fontId="3" fillId="0" borderId="14" xfId="0" applyFont="1" applyBorder="1"/>
    <xf numFmtId="0" fontId="1" fillId="0" borderId="3" xfId="0" applyFont="1" applyBorder="1"/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/>
    <xf numFmtId="0" fontId="1" fillId="0" borderId="28" xfId="0" applyFont="1" applyBorder="1" applyAlignment="1">
      <alignment horizontal="center"/>
    </xf>
    <xf numFmtId="0" fontId="3" fillId="0" borderId="19" xfId="0" applyFont="1" applyBorder="1"/>
    <xf numFmtId="0" fontId="1" fillId="0" borderId="29" xfId="0" applyFont="1" applyBorder="1"/>
    <xf numFmtId="0" fontId="1" fillId="0" borderId="30" xfId="0" applyFont="1" applyBorder="1"/>
    <xf numFmtId="0" fontId="3" fillId="0" borderId="24" xfId="0" applyFont="1" applyBorder="1"/>
    <xf numFmtId="0" fontId="1" fillId="0" borderId="31" xfId="0" applyFont="1" applyBorder="1" applyAlignment="1">
      <alignment horizontal="center"/>
    </xf>
    <xf numFmtId="0" fontId="1" fillId="0" borderId="32" xfId="0" applyFont="1" applyBorder="1"/>
    <xf numFmtId="0" fontId="1" fillId="0" borderId="2" xfId="0" applyFont="1" applyBorder="1" applyAlignment="1">
      <alignment horizontal="center"/>
    </xf>
    <xf numFmtId="0" fontId="2" fillId="0" borderId="3" xfId="0" applyFont="1" applyBorder="1"/>
    <xf numFmtId="0" fontId="2" fillId="0" borderId="4" xfId="0" applyFont="1" applyBorder="1"/>
    <xf numFmtId="49" fontId="9" fillId="0" borderId="5" xfId="0" applyNumberFormat="1" applyFont="1" applyBorder="1" applyAlignment="1">
      <alignment horizontal="center"/>
    </xf>
    <xf numFmtId="49" fontId="7" fillId="3" borderId="1" xfId="0" applyNumberFormat="1" applyFont="1" applyFill="1" applyBorder="1"/>
    <xf numFmtId="49" fontId="8" fillId="4" borderId="1" xfId="0" applyNumberFormat="1" applyFont="1" applyFill="1" applyBorder="1"/>
    <xf numFmtId="49" fontId="7" fillId="4" borderId="1" xfId="0" applyNumberFormat="1" applyFont="1" applyFill="1" applyBorder="1"/>
    <xf numFmtId="49" fontId="8" fillId="3" borderId="1" xfId="0" applyNumberFormat="1" applyFont="1" applyFill="1" applyBorder="1"/>
    <xf numFmtId="49" fontId="1" fillId="0" borderId="1" xfId="0" applyNumberFormat="1" applyFont="1" applyBorder="1"/>
    <xf numFmtId="0" fontId="9" fillId="0" borderId="5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495300</xdr:colOff>
      <xdr:row>0</xdr:row>
      <xdr:rowOff>26670</xdr:rowOff>
    </xdr:from>
    <xdr:ext cx="1242060" cy="20193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7E6F7082-7B0A-3C50-DB33-1ECD5D36E2D3}"/>
                </a:ext>
              </a:extLst>
            </xdr:cNvPr>
            <xdr:cNvSpPr txBox="1"/>
          </xdr:nvSpPr>
          <xdr:spPr>
            <a:xfrm>
              <a:off x="8793480" y="26670"/>
              <a:ext cx="1242060" cy="2019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 </m:t>
                    </m:r>
                    <m:sSup>
                      <m:sSupPr>
                        <m:ctrlPr>
                          <a:rPr lang="es-BO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7E6F7082-7B0A-3C50-DB33-1ECD5D36E2D3}"/>
                </a:ext>
              </a:extLst>
            </xdr:cNvPr>
            <xdr:cNvSpPr txBox="1"/>
          </xdr:nvSpPr>
          <xdr:spPr>
            <a:xfrm>
              <a:off x="8793480" y="26670"/>
              <a:ext cx="1242060" cy="2019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𝑎 𝑥</a:t>
              </a:r>
              <a:r>
                <a:rPr lang="es-BO" sz="1100" b="0" i="0">
                  <a:latin typeface="Cambria Math" panose="02040503050406030204" pitchFamily="18" charset="0"/>
                </a:rPr>
                <a:t>^</a:t>
              </a:r>
              <a:r>
                <a:rPr lang="es-ES" sz="1100" b="0" i="0">
                  <a:latin typeface="Cambria Math" panose="02040503050406030204" pitchFamily="18" charset="0"/>
                </a:rPr>
                <a:t>2</a:t>
              </a:r>
              <a:endParaRPr lang="es-BO" sz="1100"/>
            </a:p>
          </xdr:txBody>
        </xdr:sp>
      </mc:Fallback>
    </mc:AlternateContent>
    <xdr:clientData/>
  </xdr:oneCellAnchor>
  <xdr:oneCellAnchor>
    <xdr:from>
      <xdr:col>13</xdr:col>
      <xdr:colOff>274320</xdr:colOff>
      <xdr:row>0</xdr:row>
      <xdr:rowOff>30480</xdr:rowOff>
    </xdr:from>
    <xdr:ext cx="304800" cy="2095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D2E38BF-D22E-4D41-A5EF-238D222DE52E}"/>
                </a:ext>
              </a:extLst>
            </xdr:cNvPr>
            <xdr:cNvSpPr txBox="1"/>
          </xdr:nvSpPr>
          <xdr:spPr>
            <a:xfrm>
              <a:off x="10035540" y="30480"/>
              <a:ext cx="304800" cy="2095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s-ES" sz="1100" b="0"/>
                <a:t>b</a:t>
              </a:r>
              <a14:m>
                <m:oMath xmlns:m="http://schemas.openxmlformats.org/officeDocument/2006/math">
                  <m:r>
                    <a:rPr lang="es-ES" sz="1100" b="0" i="1">
                      <a:latin typeface="Cambria Math" panose="02040503050406030204" pitchFamily="18" charset="0"/>
                    </a:rPr>
                    <m:t> </m:t>
                  </m:r>
                  <m:r>
                    <a:rPr lang="es-ES" sz="1100" b="0" i="1">
                      <a:latin typeface="Cambria Math" panose="02040503050406030204" pitchFamily="18" charset="0"/>
                    </a:rPr>
                    <m:t>𝑥</m:t>
                  </m:r>
                </m:oMath>
              </a14:m>
              <a:endParaRPr lang="es-BO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D2E38BF-D22E-4D41-A5EF-238D222DE52E}"/>
                </a:ext>
              </a:extLst>
            </xdr:cNvPr>
            <xdr:cNvSpPr txBox="1"/>
          </xdr:nvSpPr>
          <xdr:spPr>
            <a:xfrm>
              <a:off x="10035540" y="30480"/>
              <a:ext cx="304800" cy="2095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s-ES" sz="1100" b="0"/>
                <a:t>b</a:t>
              </a:r>
              <a:r>
                <a:rPr lang="es-ES" sz="1100" b="0" i="0">
                  <a:latin typeface="Cambria Math" panose="02040503050406030204" pitchFamily="18" charset="0"/>
                </a:rPr>
                <a:t> 𝑥</a:t>
              </a:r>
              <a:endParaRPr lang="es-BO" sz="1100"/>
            </a:p>
          </xdr:txBody>
        </xdr:sp>
      </mc:Fallback>
    </mc:AlternateContent>
    <xdr:clientData/>
  </xdr:oneCellAnchor>
  <xdr:oneCellAnchor>
    <xdr:from>
      <xdr:col>14</xdr:col>
      <xdr:colOff>144780</xdr:colOff>
      <xdr:row>0</xdr:row>
      <xdr:rowOff>22860</xdr:rowOff>
    </xdr:from>
    <xdr:ext cx="304800" cy="209550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3148F1E5-F1A1-4F63-8BD5-DFE466DA55D4}"/>
            </a:ext>
          </a:extLst>
        </xdr:cNvPr>
        <xdr:cNvSpPr txBox="1"/>
      </xdr:nvSpPr>
      <xdr:spPr>
        <a:xfrm>
          <a:off x="10637520" y="22860"/>
          <a:ext cx="304800" cy="2095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es-BO" sz="1100">
              <a:latin typeface="Cambria Math" panose="02040503050406030204" pitchFamily="18" charset="0"/>
              <a:ea typeface="Cambria Math" panose="02040503050406030204" pitchFamily="18" charset="0"/>
            </a:rPr>
            <a:t>    c</a:t>
          </a:r>
        </a:p>
      </xdr:txBody>
    </xdr:sp>
    <xdr:clientData/>
  </xdr:oneCellAnchor>
  <xdr:twoCellAnchor>
    <xdr:from>
      <xdr:col>20</xdr:col>
      <xdr:colOff>236220</xdr:colOff>
      <xdr:row>4</xdr:row>
      <xdr:rowOff>76200</xdr:rowOff>
    </xdr:from>
    <xdr:to>
      <xdr:col>21</xdr:col>
      <xdr:colOff>449580</xdr:colOff>
      <xdr:row>6</xdr:row>
      <xdr:rowOff>99060</xdr:rowOff>
    </xdr:to>
    <xdr:sp macro="[0]!RunCopyAndSort" textlink="">
      <xdr:nvSpPr>
        <xdr:cNvPr id="5" name="Elipse 4">
          <a:extLst>
            <a:ext uri="{FF2B5EF4-FFF2-40B4-BE49-F238E27FC236}">
              <a16:creationId xmlns:a16="http://schemas.microsoft.com/office/drawing/2014/main" id="{AF2FE9B4-FCFB-6C82-1251-647DA1D46D9E}"/>
            </a:ext>
          </a:extLst>
        </xdr:cNvPr>
        <xdr:cNvSpPr/>
      </xdr:nvSpPr>
      <xdr:spPr>
        <a:xfrm>
          <a:off x="15118080" y="853440"/>
          <a:ext cx="944880" cy="396240"/>
        </a:xfrm>
        <a:prstGeom prst="ellipse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BO" sz="1100"/>
            <a:t>ordenar</a:t>
          </a:r>
        </a:p>
      </xdr:txBody>
    </xdr:sp>
    <xdr:clientData/>
  </xdr:twoCellAnchor>
  <xdr:twoCellAnchor>
    <xdr:from>
      <xdr:col>20</xdr:col>
      <xdr:colOff>289560</xdr:colOff>
      <xdr:row>15</xdr:row>
      <xdr:rowOff>15240</xdr:rowOff>
    </xdr:from>
    <xdr:to>
      <xdr:col>20</xdr:col>
      <xdr:colOff>693420</xdr:colOff>
      <xdr:row>17</xdr:row>
      <xdr:rowOff>99060</xdr:rowOff>
    </xdr:to>
    <xdr:sp macro="[0]!nuevageneracion" textlink="">
      <xdr:nvSpPr>
        <xdr:cNvPr id="6" name="Flecha: hacia abajo 5">
          <a:extLst>
            <a:ext uri="{FF2B5EF4-FFF2-40B4-BE49-F238E27FC236}">
              <a16:creationId xmlns:a16="http://schemas.microsoft.com/office/drawing/2014/main" id="{4089C456-044C-CD41-0A94-4F496AF2CA08}"/>
            </a:ext>
          </a:extLst>
        </xdr:cNvPr>
        <xdr:cNvSpPr/>
      </xdr:nvSpPr>
      <xdr:spPr>
        <a:xfrm>
          <a:off x="15171420" y="2857500"/>
          <a:ext cx="403860" cy="457200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Z1000"/>
  <sheetViews>
    <sheetView tabSelected="1" topLeftCell="H4" workbookViewId="0">
      <selection activeCell="R7" sqref="R7"/>
    </sheetView>
  </sheetViews>
  <sheetFormatPr baseColWidth="10" defaultColWidth="14.44140625" defaultRowHeight="15" customHeight="1"/>
  <cols>
    <col min="1" max="1" width="8.109375" customWidth="1"/>
    <col min="2" max="2" width="15.6640625" customWidth="1"/>
    <col min="3" max="3" width="12.6640625" customWidth="1"/>
    <col min="4" max="4" width="9.33203125" customWidth="1"/>
    <col min="5" max="5" width="10.44140625" customWidth="1"/>
    <col min="6" max="6" width="12.5546875" customWidth="1"/>
    <col min="7" max="7" width="11.21875" customWidth="1"/>
    <col min="8" max="8" width="9.33203125" customWidth="1"/>
    <col min="9" max="9" width="10.33203125" customWidth="1"/>
    <col min="10" max="26" width="10.6640625" customWidth="1"/>
  </cols>
  <sheetData>
    <row r="1" spans="1:26" ht="16.2">
      <c r="A1" s="1" t="s">
        <v>0</v>
      </c>
      <c r="B1" s="1"/>
      <c r="C1" s="1" t="s">
        <v>1</v>
      </c>
      <c r="D1" s="1"/>
      <c r="E1" s="1"/>
      <c r="F1" s="1"/>
      <c r="G1" s="1"/>
      <c r="H1" s="1"/>
      <c r="I1" s="1"/>
      <c r="J1" s="1"/>
      <c r="K1" s="1"/>
      <c r="L1" s="28" t="s">
        <v>36</v>
      </c>
      <c r="M1" s="1"/>
      <c r="N1" s="1"/>
      <c r="O1" s="28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thickBot="1">
      <c r="A2" s="44" t="s">
        <v>2</v>
      </c>
      <c r="B2" s="45"/>
      <c r="C2" s="46"/>
      <c r="D2" s="1" t="s">
        <v>3</v>
      </c>
      <c r="E2" s="1"/>
      <c r="F2" s="2"/>
      <c r="G2" s="3" t="s">
        <v>4</v>
      </c>
      <c r="H2" s="1" t="s">
        <v>5</v>
      </c>
      <c r="I2" s="1"/>
      <c r="J2" s="1"/>
      <c r="K2" s="1"/>
      <c r="L2" s="29" t="s">
        <v>37</v>
      </c>
      <c r="M2" s="31">
        <v>1</v>
      </c>
      <c r="N2" s="31">
        <v>0</v>
      </c>
      <c r="O2" s="31">
        <v>1</v>
      </c>
      <c r="P2" s="1"/>
      <c r="Q2" s="1"/>
      <c r="R2" s="1"/>
      <c r="S2" s="1"/>
      <c r="T2" s="52"/>
      <c r="U2" s="52"/>
      <c r="V2" s="1"/>
      <c r="W2" s="1"/>
      <c r="X2" s="1"/>
      <c r="Y2" s="1"/>
      <c r="Z2" s="1"/>
    </row>
    <row r="3" spans="1:26" thickBot="1">
      <c r="A3" s="4" t="s">
        <v>6</v>
      </c>
      <c r="B3" s="5" t="s">
        <v>7</v>
      </c>
      <c r="C3" s="5" t="s">
        <v>8</v>
      </c>
      <c r="D3" s="6" t="s">
        <v>9</v>
      </c>
      <c r="E3" s="5" t="s">
        <v>7</v>
      </c>
      <c r="F3" s="5" t="s">
        <v>8</v>
      </c>
      <c r="G3" s="7" t="s">
        <v>7</v>
      </c>
      <c r="H3" s="7" t="s">
        <v>7</v>
      </c>
      <c r="I3" s="8" t="s">
        <v>10</v>
      </c>
      <c r="J3" s="1"/>
      <c r="K3" s="1"/>
      <c r="U3" s="1"/>
      <c r="V3" s="1"/>
      <c r="W3" s="1"/>
      <c r="X3" s="1"/>
      <c r="Y3" s="1"/>
      <c r="Z3" s="1"/>
    </row>
    <row r="4" spans="1:26" thickBot="1">
      <c r="A4" s="9">
        <v>0</v>
      </c>
      <c r="B4" s="2" t="str">
        <f t="shared" ref="B4:B13" si="0">DEC2BIN(A4,6)</f>
        <v>000000</v>
      </c>
      <c r="C4" s="2">
        <f>A4*A4+1</f>
        <v>1</v>
      </c>
      <c r="D4" s="10">
        <v>20</v>
      </c>
      <c r="E4" s="11" t="str">
        <f t="shared" ref="E4:E13" si="1">DEC2BIN(D4,6)</f>
        <v>010100</v>
      </c>
      <c r="F4" s="12">
        <f t="shared" ref="F4:F13" si="2">D4*D4+1</f>
        <v>401</v>
      </c>
      <c r="G4" s="13" t="s">
        <v>11</v>
      </c>
      <c r="H4" s="14" t="s">
        <v>12</v>
      </c>
      <c r="I4" s="15">
        <f t="shared" ref="I4:I13" si="3">BIN2DEC(H4)</f>
        <v>27</v>
      </c>
      <c r="J4" s="1"/>
      <c r="K4" s="1"/>
      <c r="L4" s="44" t="s">
        <v>2</v>
      </c>
      <c r="M4" s="45"/>
      <c r="N4" s="46"/>
      <c r="O4" s="1" t="s">
        <v>3</v>
      </c>
      <c r="P4" s="1"/>
      <c r="Q4" s="2"/>
      <c r="R4" s="3" t="s">
        <v>4</v>
      </c>
      <c r="S4" s="1" t="s">
        <v>5</v>
      </c>
      <c r="T4" s="1"/>
      <c r="U4" s="1"/>
      <c r="V4" s="1"/>
      <c r="W4" s="1"/>
      <c r="X4" s="1"/>
      <c r="Y4" s="1"/>
      <c r="Z4" s="1"/>
    </row>
    <row r="5" spans="1:26" thickBot="1">
      <c r="A5" s="9">
        <v>14</v>
      </c>
      <c r="B5" s="2" t="str">
        <f t="shared" si="0"/>
        <v>001110</v>
      </c>
      <c r="C5" s="2">
        <f t="shared" ref="C5:C13" si="4">A5*A5+1</f>
        <v>197</v>
      </c>
      <c r="D5" s="16">
        <v>19</v>
      </c>
      <c r="E5" s="17" t="str">
        <f t="shared" si="1"/>
        <v>010011</v>
      </c>
      <c r="F5" s="18">
        <f t="shared" si="2"/>
        <v>362</v>
      </c>
      <c r="G5" s="19" t="s">
        <v>13</v>
      </c>
      <c r="H5" s="14" t="s">
        <v>14</v>
      </c>
      <c r="I5" s="15">
        <f t="shared" si="3"/>
        <v>28</v>
      </c>
      <c r="J5" s="1"/>
      <c r="K5" s="1"/>
      <c r="L5" s="30" t="s">
        <v>6</v>
      </c>
      <c r="M5" s="5" t="s">
        <v>7</v>
      </c>
      <c r="N5" s="5" t="s">
        <v>8</v>
      </c>
      <c r="O5" s="41" t="s">
        <v>9</v>
      </c>
      <c r="P5" s="32" t="s">
        <v>7</v>
      </c>
      <c r="Q5" s="32" t="s">
        <v>8</v>
      </c>
      <c r="R5" s="7" t="s">
        <v>7</v>
      </c>
      <c r="S5" s="7" t="s">
        <v>7</v>
      </c>
      <c r="T5" s="8" t="s">
        <v>10</v>
      </c>
      <c r="U5" s="1"/>
      <c r="V5" s="1"/>
      <c r="W5" s="1"/>
      <c r="X5" s="1"/>
      <c r="Y5" s="1"/>
      <c r="Z5" s="1"/>
    </row>
    <row r="6" spans="1:26" ht="14.4">
      <c r="A6" s="9">
        <v>7</v>
      </c>
      <c r="B6" s="2" t="str">
        <f t="shared" si="0"/>
        <v>000111</v>
      </c>
      <c r="C6" s="2">
        <f t="shared" si="4"/>
        <v>50</v>
      </c>
      <c r="D6" s="1">
        <v>14</v>
      </c>
      <c r="E6" s="20" t="str">
        <f t="shared" si="1"/>
        <v>001110</v>
      </c>
      <c r="F6" s="2">
        <f t="shared" si="2"/>
        <v>197</v>
      </c>
      <c r="G6" s="19" t="s">
        <v>15</v>
      </c>
      <c r="H6" s="14" t="s">
        <v>16</v>
      </c>
      <c r="I6" s="15">
        <f t="shared" si="3"/>
        <v>7</v>
      </c>
      <c r="J6" s="1"/>
      <c r="K6" s="1"/>
      <c r="L6" s="9">
        <v>0</v>
      </c>
      <c r="M6" s="2" t="str">
        <f t="shared" ref="M6:M15" si="5">DEC2BIN(L6,6)</f>
        <v>000000</v>
      </c>
      <c r="N6" s="33">
        <f>$M$2*L$6^2+$N$2*L6+$O$2</f>
        <v>1</v>
      </c>
      <c r="O6" s="9">
        <v>20</v>
      </c>
      <c r="P6" s="34" t="str">
        <f t="shared" ref="P6:P15" si="6">DEC2BIN(O6,6)</f>
        <v>010100</v>
      </c>
      <c r="Q6" s="39">
        <f>$M$2*O6^2+$N$2*O6+$O$2</f>
        <v>401</v>
      </c>
      <c r="R6" s="47" t="str">
        <f>W6&amp;X7</f>
        <v>010011</v>
      </c>
      <c r="S6" s="14" t="s">
        <v>12</v>
      </c>
      <c r="T6" s="15">
        <f t="shared" ref="T6:T15" si="7">BIN2DEC(S6)</f>
        <v>27</v>
      </c>
      <c r="U6" s="1"/>
      <c r="V6" s="1"/>
      <c r="W6" s="48" t="str">
        <f>LEFT(P6,3)</f>
        <v>010</v>
      </c>
      <c r="X6" s="49" t="str">
        <f>RIGHT(P6,3)</f>
        <v>100</v>
      </c>
      <c r="Y6" s="1"/>
      <c r="Z6" s="1"/>
    </row>
    <row r="7" spans="1:26" thickBot="1">
      <c r="A7" s="9">
        <v>20</v>
      </c>
      <c r="B7" s="2" t="str">
        <f t="shared" si="0"/>
        <v>010100</v>
      </c>
      <c r="C7" s="2">
        <f t="shared" si="4"/>
        <v>401</v>
      </c>
      <c r="D7" s="16">
        <v>7</v>
      </c>
      <c r="E7" s="17" t="str">
        <f t="shared" si="1"/>
        <v>000111</v>
      </c>
      <c r="F7" s="18">
        <f t="shared" si="2"/>
        <v>50</v>
      </c>
      <c r="G7" s="19" t="s">
        <v>17</v>
      </c>
      <c r="H7" s="14" t="s">
        <v>18</v>
      </c>
      <c r="I7" s="15">
        <f t="shared" si="3"/>
        <v>14</v>
      </c>
      <c r="J7" s="1"/>
      <c r="K7" s="1"/>
      <c r="L7" s="9">
        <v>14</v>
      </c>
      <c r="M7" s="2" t="str">
        <f t="shared" si="5"/>
        <v>001110</v>
      </c>
      <c r="N7" s="33">
        <f t="shared" ref="N7:N15" si="8">$M$2*L7^2+$N$2*L7+$O$2</f>
        <v>197</v>
      </c>
      <c r="O7" s="9">
        <v>19</v>
      </c>
      <c r="P7" s="35" t="str">
        <f t="shared" si="6"/>
        <v>010011</v>
      </c>
      <c r="Q7" s="36">
        <f t="shared" ref="Q7:Q15" si="9">$M$2*O7^2+$N$2*O7+$O$2</f>
        <v>362</v>
      </c>
      <c r="R7" s="47" t="str">
        <f>W7&amp;X8</f>
        <v>010110</v>
      </c>
      <c r="S7" s="14" t="s">
        <v>14</v>
      </c>
      <c r="T7" s="15">
        <f t="shared" si="7"/>
        <v>28</v>
      </c>
      <c r="U7" s="1"/>
      <c r="V7" s="1"/>
      <c r="W7" s="50" t="str">
        <f t="shared" ref="W7:W15" si="10">LEFT(P7,3)</f>
        <v>010</v>
      </c>
      <c r="X7" s="51" t="str">
        <f t="shared" ref="X7:X15" si="11">RIGHT(P7,3)</f>
        <v>011</v>
      </c>
      <c r="Y7" s="1"/>
      <c r="Z7" s="1"/>
    </row>
    <row r="8" spans="1:26" ht="14.4">
      <c r="A8" s="9">
        <v>19</v>
      </c>
      <c r="B8" s="2" t="str">
        <f t="shared" si="0"/>
        <v>010011</v>
      </c>
      <c r="C8" s="2">
        <f t="shared" si="4"/>
        <v>362</v>
      </c>
      <c r="D8" s="1">
        <v>7</v>
      </c>
      <c r="E8" s="20" t="str">
        <f t="shared" si="1"/>
        <v>000111</v>
      </c>
      <c r="F8" s="2">
        <f t="shared" si="2"/>
        <v>50</v>
      </c>
      <c r="G8" s="19" t="s">
        <v>19</v>
      </c>
      <c r="H8" s="14" t="s">
        <v>20</v>
      </c>
      <c r="I8" s="15">
        <f t="shared" si="3"/>
        <v>13</v>
      </c>
      <c r="J8" s="1"/>
      <c r="K8" s="1"/>
      <c r="L8" s="9">
        <v>7</v>
      </c>
      <c r="M8" s="2" t="str">
        <f t="shared" si="5"/>
        <v>000111</v>
      </c>
      <c r="N8" s="33">
        <f t="shared" si="8"/>
        <v>50</v>
      </c>
      <c r="O8" s="9">
        <v>14</v>
      </c>
      <c r="P8" s="34" t="str">
        <f t="shared" si="6"/>
        <v>001110</v>
      </c>
      <c r="Q8" s="39">
        <f t="shared" si="9"/>
        <v>197</v>
      </c>
      <c r="R8" s="53" t="str">
        <f t="shared" ref="R7:R15" si="12">W8&amp;X9</f>
        <v>001111</v>
      </c>
      <c r="S8" s="14" t="s">
        <v>16</v>
      </c>
      <c r="T8" s="15">
        <f t="shared" si="7"/>
        <v>7</v>
      </c>
      <c r="U8" s="1"/>
      <c r="V8" s="1"/>
      <c r="W8" s="48" t="str">
        <f t="shared" si="10"/>
        <v>001</v>
      </c>
      <c r="X8" s="49" t="str">
        <f t="shared" si="11"/>
        <v>110</v>
      </c>
      <c r="Y8" s="1"/>
      <c r="Z8" s="1"/>
    </row>
    <row r="9" spans="1:26" thickBot="1">
      <c r="A9" s="9">
        <v>5</v>
      </c>
      <c r="B9" s="2" t="str">
        <f t="shared" si="0"/>
        <v>000101</v>
      </c>
      <c r="C9" s="2">
        <f t="shared" si="4"/>
        <v>26</v>
      </c>
      <c r="D9" s="16">
        <v>5</v>
      </c>
      <c r="E9" s="17" t="str">
        <f t="shared" si="1"/>
        <v>000101</v>
      </c>
      <c r="F9" s="18">
        <f t="shared" si="2"/>
        <v>26</v>
      </c>
      <c r="G9" s="19" t="s">
        <v>16</v>
      </c>
      <c r="H9" s="14" t="s">
        <v>21</v>
      </c>
      <c r="I9" s="15">
        <f t="shared" si="3"/>
        <v>15</v>
      </c>
      <c r="J9" s="1"/>
      <c r="K9" s="1"/>
      <c r="L9" s="9">
        <v>20</v>
      </c>
      <c r="M9" s="2" t="str">
        <f t="shared" si="5"/>
        <v>010100</v>
      </c>
      <c r="N9" s="33">
        <f t="shared" si="8"/>
        <v>401</v>
      </c>
      <c r="O9" s="9">
        <v>7</v>
      </c>
      <c r="P9" s="37" t="str">
        <f t="shared" si="6"/>
        <v>000111</v>
      </c>
      <c r="Q9" s="40">
        <f t="shared" si="9"/>
        <v>50</v>
      </c>
      <c r="R9" s="53" t="str">
        <f t="shared" si="12"/>
        <v>000111</v>
      </c>
      <c r="S9" s="14" t="s">
        <v>18</v>
      </c>
      <c r="T9" s="15">
        <f t="shared" si="7"/>
        <v>14</v>
      </c>
      <c r="U9" s="1"/>
      <c r="V9" s="1"/>
      <c r="W9" s="50" t="str">
        <f t="shared" si="10"/>
        <v>000</v>
      </c>
      <c r="X9" s="51" t="str">
        <f t="shared" si="11"/>
        <v>111</v>
      </c>
      <c r="Y9" s="1"/>
      <c r="Z9" s="1"/>
    </row>
    <row r="10" spans="1:26" ht="14.4">
      <c r="A10" s="9">
        <v>1</v>
      </c>
      <c r="B10" s="2" t="str">
        <f t="shared" si="0"/>
        <v>000001</v>
      </c>
      <c r="C10" s="2">
        <f t="shared" si="4"/>
        <v>2</v>
      </c>
      <c r="D10" s="1">
        <v>5</v>
      </c>
      <c r="E10" s="20" t="str">
        <f t="shared" si="1"/>
        <v>000101</v>
      </c>
      <c r="F10" s="2">
        <f t="shared" si="2"/>
        <v>26</v>
      </c>
      <c r="G10" s="19" t="s">
        <v>22</v>
      </c>
      <c r="H10" s="14" t="s">
        <v>23</v>
      </c>
      <c r="I10" s="15">
        <f t="shared" si="3"/>
        <v>11</v>
      </c>
      <c r="J10" s="1"/>
      <c r="K10" s="1"/>
      <c r="L10" s="9">
        <v>19</v>
      </c>
      <c r="M10" s="2" t="str">
        <f t="shared" si="5"/>
        <v>010011</v>
      </c>
      <c r="N10" s="33">
        <f t="shared" si="8"/>
        <v>362</v>
      </c>
      <c r="O10" s="9">
        <v>7</v>
      </c>
      <c r="P10" s="34" t="str">
        <f t="shared" si="6"/>
        <v>000111</v>
      </c>
      <c r="Q10" s="39">
        <f t="shared" si="9"/>
        <v>50</v>
      </c>
      <c r="R10" s="53" t="str">
        <f t="shared" si="12"/>
        <v>000101</v>
      </c>
      <c r="S10" s="14" t="s">
        <v>20</v>
      </c>
      <c r="T10" s="15">
        <f t="shared" si="7"/>
        <v>13</v>
      </c>
      <c r="U10" s="1"/>
      <c r="V10" s="1"/>
      <c r="W10" s="48" t="str">
        <f t="shared" si="10"/>
        <v>000</v>
      </c>
      <c r="X10" s="49" t="str">
        <f t="shared" si="11"/>
        <v>111</v>
      </c>
      <c r="Y10" s="1"/>
      <c r="Z10" s="1"/>
    </row>
    <row r="11" spans="1:26" thickBot="1">
      <c r="A11" s="9">
        <v>7</v>
      </c>
      <c r="B11" s="2" t="str">
        <f t="shared" si="0"/>
        <v>000111</v>
      </c>
      <c r="C11" s="2">
        <f t="shared" si="4"/>
        <v>50</v>
      </c>
      <c r="D11" s="16">
        <v>3</v>
      </c>
      <c r="E11" s="17" t="str">
        <f t="shared" si="1"/>
        <v>000011</v>
      </c>
      <c r="F11" s="18">
        <f t="shared" si="2"/>
        <v>10</v>
      </c>
      <c r="G11" s="19" t="s">
        <v>19</v>
      </c>
      <c r="H11" s="14" t="s">
        <v>20</v>
      </c>
      <c r="I11" s="15">
        <f t="shared" si="3"/>
        <v>13</v>
      </c>
      <c r="J11" s="1"/>
      <c r="K11" s="1"/>
      <c r="L11" s="9">
        <v>5</v>
      </c>
      <c r="M11" s="2" t="str">
        <f t="shared" si="5"/>
        <v>000101</v>
      </c>
      <c r="N11" s="33">
        <f t="shared" si="8"/>
        <v>26</v>
      </c>
      <c r="O11" s="9">
        <v>5</v>
      </c>
      <c r="P11" s="37" t="str">
        <f t="shared" si="6"/>
        <v>000101</v>
      </c>
      <c r="Q11" s="40">
        <f t="shared" si="9"/>
        <v>26</v>
      </c>
      <c r="R11" s="53" t="str">
        <f t="shared" si="12"/>
        <v>000101</v>
      </c>
      <c r="S11" s="14" t="s">
        <v>21</v>
      </c>
      <c r="T11" s="15">
        <f t="shared" si="7"/>
        <v>15</v>
      </c>
      <c r="U11" s="1"/>
      <c r="V11" s="1"/>
      <c r="W11" s="50" t="str">
        <f t="shared" si="10"/>
        <v>000</v>
      </c>
      <c r="X11" s="51" t="str">
        <f t="shared" si="11"/>
        <v>101</v>
      </c>
      <c r="Y11" s="1"/>
      <c r="Z11" s="1"/>
    </row>
    <row r="12" spans="1:26" ht="14.4">
      <c r="A12" s="9">
        <v>5</v>
      </c>
      <c r="B12" s="2" t="str">
        <f t="shared" si="0"/>
        <v>000101</v>
      </c>
      <c r="C12" s="2">
        <f t="shared" si="4"/>
        <v>26</v>
      </c>
      <c r="D12" s="1">
        <v>1</v>
      </c>
      <c r="E12" s="20" t="str">
        <f t="shared" si="1"/>
        <v>000001</v>
      </c>
      <c r="F12" s="2">
        <f t="shared" si="2"/>
        <v>2</v>
      </c>
      <c r="G12" s="19" t="s">
        <v>24</v>
      </c>
      <c r="H12" s="14" t="s">
        <v>25</v>
      </c>
      <c r="I12" s="15">
        <f t="shared" si="3"/>
        <v>8</v>
      </c>
      <c r="J12" s="1"/>
      <c r="K12" s="1"/>
      <c r="L12" s="9">
        <v>1</v>
      </c>
      <c r="M12" s="2" t="str">
        <f t="shared" si="5"/>
        <v>000001</v>
      </c>
      <c r="N12" s="33">
        <f t="shared" si="8"/>
        <v>2</v>
      </c>
      <c r="O12" s="9">
        <v>5</v>
      </c>
      <c r="P12" s="34" t="str">
        <f t="shared" si="6"/>
        <v>000101</v>
      </c>
      <c r="Q12" s="39">
        <f t="shared" si="9"/>
        <v>26</v>
      </c>
      <c r="R12" s="53" t="str">
        <f t="shared" si="12"/>
        <v>000011</v>
      </c>
      <c r="S12" s="14" t="s">
        <v>23</v>
      </c>
      <c r="T12" s="15">
        <f t="shared" si="7"/>
        <v>11</v>
      </c>
      <c r="U12" s="1"/>
      <c r="V12" s="1"/>
      <c r="W12" s="48" t="str">
        <f t="shared" si="10"/>
        <v>000</v>
      </c>
      <c r="X12" s="49" t="str">
        <f t="shared" si="11"/>
        <v>101</v>
      </c>
      <c r="Y12" s="1"/>
      <c r="Z12" s="1"/>
    </row>
    <row r="13" spans="1:26" thickBot="1">
      <c r="A13" s="21">
        <v>3</v>
      </c>
      <c r="B13" s="22" t="str">
        <f t="shared" si="0"/>
        <v>000011</v>
      </c>
      <c r="C13" s="22">
        <f t="shared" si="4"/>
        <v>10</v>
      </c>
      <c r="D13" s="23">
        <v>0</v>
      </c>
      <c r="E13" s="24" t="str">
        <f t="shared" si="1"/>
        <v>000000</v>
      </c>
      <c r="F13" s="22">
        <f t="shared" si="2"/>
        <v>1</v>
      </c>
      <c r="G13" s="25" t="s">
        <v>26</v>
      </c>
      <c r="H13" s="26" t="s">
        <v>27</v>
      </c>
      <c r="I13" s="27">
        <f t="shared" si="3"/>
        <v>9</v>
      </c>
      <c r="J13" s="1"/>
      <c r="K13" s="1"/>
      <c r="L13" s="9">
        <v>7</v>
      </c>
      <c r="M13" s="2" t="str">
        <f t="shared" si="5"/>
        <v>000111</v>
      </c>
      <c r="N13" s="33">
        <f t="shared" si="8"/>
        <v>50</v>
      </c>
      <c r="O13" s="9">
        <v>3</v>
      </c>
      <c r="P13" s="37" t="str">
        <f t="shared" si="6"/>
        <v>000011</v>
      </c>
      <c r="Q13" s="40">
        <f t="shared" si="9"/>
        <v>10</v>
      </c>
      <c r="R13" s="53" t="str">
        <f t="shared" si="12"/>
        <v>000001</v>
      </c>
      <c r="S13" s="14" t="s">
        <v>20</v>
      </c>
      <c r="T13" s="15">
        <f t="shared" si="7"/>
        <v>13</v>
      </c>
      <c r="U13" s="1"/>
      <c r="V13" s="1"/>
      <c r="W13" s="50" t="str">
        <f t="shared" si="10"/>
        <v>000</v>
      </c>
      <c r="X13" s="51" t="str">
        <f t="shared" si="11"/>
        <v>011</v>
      </c>
      <c r="Y13" s="1"/>
      <c r="Z13" s="1"/>
    </row>
    <row r="14" spans="1:26" thickBot="1">
      <c r="A14" s="4" t="s">
        <v>10</v>
      </c>
      <c r="B14" s="5" t="s">
        <v>7</v>
      </c>
      <c r="C14" s="5" t="s">
        <v>8</v>
      </c>
      <c r="D14" s="6" t="s">
        <v>9</v>
      </c>
      <c r="E14" s="5" t="s">
        <v>7</v>
      </c>
      <c r="F14" s="5" t="s">
        <v>8</v>
      </c>
      <c r="G14" s="7" t="s">
        <v>7</v>
      </c>
      <c r="H14" s="7" t="s">
        <v>7</v>
      </c>
      <c r="I14" s="8" t="s">
        <v>28</v>
      </c>
      <c r="J14" s="1"/>
      <c r="K14" s="1"/>
      <c r="L14" s="9">
        <v>5</v>
      </c>
      <c r="M14" s="2" t="str">
        <f t="shared" si="5"/>
        <v>000101</v>
      </c>
      <c r="N14" s="2">
        <f t="shared" si="8"/>
        <v>26</v>
      </c>
      <c r="O14" s="9">
        <v>1</v>
      </c>
      <c r="P14" s="42" t="str">
        <f t="shared" si="6"/>
        <v>000001</v>
      </c>
      <c r="Q14" s="43">
        <f t="shared" si="9"/>
        <v>2</v>
      </c>
      <c r="R14" s="53" t="str">
        <f t="shared" si="12"/>
        <v>000000</v>
      </c>
      <c r="S14" s="14" t="s">
        <v>25</v>
      </c>
      <c r="T14" s="15">
        <f t="shared" si="7"/>
        <v>8</v>
      </c>
      <c r="U14" s="1"/>
      <c r="V14" s="1"/>
      <c r="W14" s="48" t="str">
        <f t="shared" si="10"/>
        <v>000</v>
      </c>
      <c r="X14" s="49" t="str">
        <f t="shared" si="11"/>
        <v>001</v>
      </c>
      <c r="Y14" s="1"/>
      <c r="Z14" s="1"/>
    </row>
    <row r="15" spans="1:26" thickBot="1">
      <c r="A15" s="9">
        <v>27</v>
      </c>
      <c r="B15" s="2" t="str">
        <f t="shared" ref="B15:B24" si="13">DEC2BIN(A15,6)</f>
        <v>011011</v>
      </c>
      <c r="C15" s="2">
        <f t="shared" ref="C15:C24" si="14">A15*A15+1</f>
        <v>730</v>
      </c>
      <c r="D15" s="9">
        <v>28</v>
      </c>
      <c r="E15" s="2" t="str">
        <f t="shared" ref="E15:E24" si="15">DEC2BIN(D15,6)</f>
        <v>011100</v>
      </c>
      <c r="F15" s="2">
        <f t="shared" ref="F15:F24" si="16">D15*D15+1</f>
        <v>785</v>
      </c>
      <c r="G15" s="19" t="s">
        <v>29</v>
      </c>
      <c r="H15" s="14" t="s">
        <v>30</v>
      </c>
      <c r="I15" s="15">
        <f t="shared" ref="I15:I24" si="17">BIN2DEC(H15)</f>
        <v>29</v>
      </c>
      <c r="J15" s="1"/>
      <c r="K15" s="1"/>
      <c r="L15" s="21">
        <v>3</v>
      </c>
      <c r="M15" s="22" t="str">
        <f t="shared" si="5"/>
        <v>000011</v>
      </c>
      <c r="N15" s="2">
        <f t="shared" si="8"/>
        <v>10</v>
      </c>
      <c r="O15" s="21">
        <v>0</v>
      </c>
      <c r="P15" s="37" t="str">
        <f t="shared" si="6"/>
        <v>000000</v>
      </c>
      <c r="Q15" s="40">
        <f t="shared" si="9"/>
        <v>1</v>
      </c>
      <c r="R15" s="53" t="str">
        <f t="shared" si="12"/>
        <v>000</v>
      </c>
      <c r="S15" s="26" t="s">
        <v>27</v>
      </c>
      <c r="T15" s="27">
        <f t="shared" si="7"/>
        <v>9</v>
      </c>
      <c r="U15" s="1"/>
      <c r="V15" s="1"/>
      <c r="W15" s="50" t="str">
        <f t="shared" si="10"/>
        <v>000</v>
      </c>
      <c r="X15" s="51" t="str">
        <f t="shared" si="11"/>
        <v>000</v>
      </c>
      <c r="Y15" s="1"/>
      <c r="Z15" s="1"/>
    </row>
    <row r="16" spans="1:26" thickBot="1">
      <c r="A16" s="9">
        <v>28</v>
      </c>
      <c r="B16" s="2" t="str">
        <f t="shared" si="13"/>
        <v>011100</v>
      </c>
      <c r="C16" s="2">
        <f t="shared" si="14"/>
        <v>785</v>
      </c>
      <c r="D16" s="9">
        <v>27</v>
      </c>
      <c r="E16" s="2" t="str">
        <f t="shared" si="15"/>
        <v>011011</v>
      </c>
      <c r="F16" s="2">
        <f t="shared" si="16"/>
        <v>730</v>
      </c>
      <c r="G16" s="19" t="s">
        <v>31</v>
      </c>
      <c r="H16" s="14" t="s">
        <v>32</v>
      </c>
      <c r="I16" s="15">
        <f t="shared" si="17"/>
        <v>26</v>
      </c>
      <c r="J16" s="1"/>
      <c r="K16" s="1"/>
      <c r="L16" s="4" t="s">
        <v>10</v>
      </c>
      <c r="M16" s="5" t="s">
        <v>7</v>
      </c>
      <c r="N16" s="5" t="s">
        <v>8</v>
      </c>
      <c r="O16" s="6" t="s">
        <v>9</v>
      </c>
      <c r="P16" s="38" t="s">
        <v>7</v>
      </c>
      <c r="Q16" s="38" t="s">
        <v>8</v>
      </c>
      <c r="R16" s="7" t="s">
        <v>7</v>
      </c>
      <c r="S16" s="7" t="s">
        <v>7</v>
      </c>
      <c r="T16" s="8" t="s">
        <v>28</v>
      </c>
      <c r="U16" s="1"/>
      <c r="V16" s="1"/>
      <c r="W16" s="1"/>
      <c r="X16" s="1"/>
      <c r="Y16" s="1"/>
      <c r="Z16" s="1"/>
    </row>
    <row r="17" spans="1:26" ht="14.4">
      <c r="A17" s="9">
        <v>7</v>
      </c>
      <c r="B17" s="2" t="str">
        <f t="shared" si="13"/>
        <v>000111</v>
      </c>
      <c r="C17" s="2">
        <f t="shared" si="14"/>
        <v>50</v>
      </c>
      <c r="D17" s="9">
        <v>15</v>
      </c>
      <c r="E17" s="2" t="str">
        <f t="shared" si="15"/>
        <v>001111</v>
      </c>
      <c r="F17" s="2">
        <f t="shared" si="16"/>
        <v>226</v>
      </c>
      <c r="G17" s="19" t="s">
        <v>18</v>
      </c>
      <c r="H17" s="14" t="s">
        <v>33</v>
      </c>
      <c r="I17" s="15">
        <f t="shared" si="17"/>
        <v>12</v>
      </c>
      <c r="J17" s="1"/>
      <c r="K17" s="1"/>
      <c r="L17" s="9">
        <f>T6</f>
        <v>27</v>
      </c>
      <c r="M17" s="2" t="str">
        <f>DEC2BIN(L17,6)</f>
        <v>011011</v>
      </c>
      <c r="N17" s="2">
        <f>$M$2*L17^2+$N$2*L17+$O$2</f>
        <v>730</v>
      </c>
      <c r="O17" s="9">
        <v>28</v>
      </c>
      <c r="P17" s="34" t="str">
        <f t="shared" ref="P17:P26" si="18">DEC2BIN(O17,6)</f>
        <v>011100</v>
      </c>
      <c r="Q17" s="39">
        <f>$M$2*O17^2+$N$2*O17+$O$2</f>
        <v>785</v>
      </c>
      <c r="R17" s="19" t="s">
        <v>29</v>
      </c>
      <c r="S17" s="14" t="s">
        <v>30</v>
      </c>
      <c r="T17" s="15">
        <f t="shared" ref="T17:T26" si="19">BIN2DEC(S17)</f>
        <v>29</v>
      </c>
      <c r="U17" s="1"/>
      <c r="V17" s="1"/>
      <c r="W17" s="1"/>
      <c r="X17" s="1"/>
      <c r="Y17" s="1"/>
      <c r="Z17" s="1"/>
    </row>
    <row r="18" spans="1:26" thickBot="1">
      <c r="A18" s="9">
        <v>14</v>
      </c>
      <c r="B18" s="2" t="str">
        <f t="shared" si="13"/>
        <v>001110</v>
      </c>
      <c r="C18" s="2">
        <f t="shared" si="14"/>
        <v>197</v>
      </c>
      <c r="D18" s="9">
        <v>14</v>
      </c>
      <c r="E18" s="2" t="str">
        <f t="shared" si="15"/>
        <v>001110</v>
      </c>
      <c r="F18" s="2">
        <f t="shared" si="16"/>
        <v>197</v>
      </c>
      <c r="G18" s="19" t="s">
        <v>21</v>
      </c>
      <c r="H18" s="14" t="s">
        <v>20</v>
      </c>
      <c r="I18" s="15">
        <f t="shared" si="17"/>
        <v>13</v>
      </c>
      <c r="J18" s="1"/>
      <c r="K18" s="1"/>
      <c r="L18" s="9">
        <f t="shared" ref="L18:L26" si="20">T7</f>
        <v>28</v>
      </c>
      <c r="M18" s="2" t="str">
        <f t="shared" ref="M18:M26" si="21">DEC2BIN(L18,6)</f>
        <v>011100</v>
      </c>
      <c r="N18" s="2">
        <f t="shared" ref="N18:N26" si="22">$M$2*L18^2+$N$2*L18+$O$2</f>
        <v>785</v>
      </c>
      <c r="O18" s="9">
        <v>27</v>
      </c>
      <c r="P18" s="35" t="str">
        <f t="shared" si="18"/>
        <v>011011</v>
      </c>
      <c r="Q18" s="36">
        <f t="shared" ref="Q18:Q26" si="23">$M$2*O18^2+$N$2*O18+$O$2</f>
        <v>730</v>
      </c>
      <c r="R18" s="19" t="s">
        <v>31</v>
      </c>
      <c r="S18" s="14" t="s">
        <v>32</v>
      </c>
      <c r="T18" s="15">
        <f t="shared" si="19"/>
        <v>26</v>
      </c>
      <c r="U18" s="1"/>
      <c r="V18" s="1"/>
      <c r="W18" s="1"/>
      <c r="X18" s="1"/>
      <c r="Y18" s="1"/>
      <c r="Z18" s="1"/>
    </row>
    <row r="19" spans="1:26" ht="14.4">
      <c r="A19" s="9">
        <v>13</v>
      </c>
      <c r="B19" s="2" t="str">
        <f t="shared" si="13"/>
        <v>001101</v>
      </c>
      <c r="C19" s="2">
        <f t="shared" si="14"/>
        <v>170</v>
      </c>
      <c r="D19" s="9">
        <v>13</v>
      </c>
      <c r="E19" s="2" t="str">
        <f t="shared" si="15"/>
        <v>001101</v>
      </c>
      <c r="F19" s="2">
        <f t="shared" si="16"/>
        <v>170</v>
      </c>
      <c r="G19" s="19" t="s">
        <v>20</v>
      </c>
      <c r="H19" s="14" t="s">
        <v>21</v>
      </c>
      <c r="I19" s="15">
        <f t="shared" si="17"/>
        <v>15</v>
      </c>
      <c r="J19" s="1"/>
      <c r="K19" s="1"/>
      <c r="L19" s="9">
        <f t="shared" si="20"/>
        <v>7</v>
      </c>
      <c r="M19" s="2" t="str">
        <f t="shared" si="21"/>
        <v>000111</v>
      </c>
      <c r="N19" s="2">
        <f t="shared" si="22"/>
        <v>50</v>
      </c>
      <c r="O19" s="9">
        <v>15</v>
      </c>
      <c r="P19" s="34" t="str">
        <f t="shared" si="18"/>
        <v>001111</v>
      </c>
      <c r="Q19" s="39">
        <f t="shared" si="23"/>
        <v>226</v>
      </c>
      <c r="R19" s="19" t="s">
        <v>18</v>
      </c>
      <c r="S19" s="14" t="s">
        <v>33</v>
      </c>
      <c r="T19" s="15">
        <f t="shared" si="19"/>
        <v>12</v>
      </c>
      <c r="U19" s="1"/>
      <c r="V19" s="1"/>
      <c r="W19" s="1"/>
      <c r="X19" s="1"/>
      <c r="Y19" s="1"/>
      <c r="Z19" s="1"/>
    </row>
    <row r="20" spans="1:26" thickBot="1">
      <c r="A20" s="9">
        <v>15</v>
      </c>
      <c r="B20" s="2" t="str">
        <f t="shared" si="13"/>
        <v>001111</v>
      </c>
      <c r="C20" s="2">
        <f t="shared" si="14"/>
        <v>226</v>
      </c>
      <c r="D20" s="9">
        <v>13</v>
      </c>
      <c r="E20" s="2" t="str">
        <f t="shared" si="15"/>
        <v>001101</v>
      </c>
      <c r="F20" s="2">
        <f t="shared" si="16"/>
        <v>170</v>
      </c>
      <c r="G20" s="19" t="s">
        <v>20</v>
      </c>
      <c r="H20" s="14" t="s">
        <v>21</v>
      </c>
      <c r="I20" s="15">
        <f t="shared" si="17"/>
        <v>15</v>
      </c>
      <c r="J20" s="1"/>
      <c r="K20" s="1"/>
      <c r="L20" s="9">
        <f t="shared" si="20"/>
        <v>14</v>
      </c>
      <c r="M20" s="2" t="str">
        <f t="shared" si="21"/>
        <v>001110</v>
      </c>
      <c r="N20" s="2">
        <f t="shared" si="22"/>
        <v>197</v>
      </c>
      <c r="O20" s="9">
        <v>14</v>
      </c>
      <c r="P20" s="37" t="str">
        <f t="shared" si="18"/>
        <v>001110</v>
      </c>
      <c r="Q20" s="40">
        <f t="shared" si="23"/>
        <v>197</v>
      </c>
      <c r="R20" s="19" t="s">
        <v>21</v>
      </c>
      <c r="S20" s="14" t="s">
        <v>20</v>
      </c>
      <c r="T20" s="15">
        <f t="shared" si="19"/>
        <v>13</v>
      </c>
      <c r="U20" s="28"/>
      <c r="V20" s="1"/>
      <c r="W20" s="1"/>
      <c r="X20" s="1"/>
      <c r="Y20" s="1"/>
      <c r="Z20" s="1"/>
    </row>
    <row r="21" spans="1:26" ht="15.75" customHeight="1">
      <c r="A21" s="9">
        <v>11</v>
      </c>
      <c r="B21" s="2" t="str">
        <f t="shared" si="13"/>
        <v>001011</v>
      </c>
      <c r="C21" s="2">
        <f t="shared" si="14"/>
        <v>122</v>
      </c>
      <c r="D21" s="9">
        <v>11</v>
      </c>
      <c r="E21" s="2" t="str">
        <f t="shared" si="15"/>
        <v>001011</v>
      </c>
      <c r="F21" s="2">
        <f t="shared" si="16"/>
        <v>122</v>
      </c>
      <c r="G21" s="19" t="s">
        <v>27</v>
      </c>
      <c r="H21" s="14" t="s">
        <v>23</v>
      </c>
      <c r="I21" s="15">
        <f t="shared" si="17"/>
        <v>11</v>
      </c>
      <c r="J21" s="1"/>
      <c r="K21" s="1"/>
      <c r="L21" s="9">
        <f t="shared" si="20"/>
        <v>13</v>
      </c>
      <c r="M21" s="2" t="str">
        <f t="shared" si="21"/>
        <v>001101</v>
      </c>
      <c r="N21" s="2">
        <f t="shared" si="22"/>
        <v>170</v>
      </c>
      <c r="O21" s="9">
        <v>13</v>
      </c>
      <c r="P21" s="34" t="str">
        <f t="shared" si="18"/>
        <v>001101</v>
      </c>
      <c r="Q21" s="39">
        <f t="shared" si="23"/>
        <v>170</v>
      </c>
      <c r="R21" s="19" t="s">
        <v>20</v>
      </c>
      <c r="S21" s="14" t="s">
        <v>21</v>
      </c>
      <c r="T21" s="15">
        <f t="shared" si="19"/>
        <v>15</v>
      </c>
      <c r="U21" s="1"/>
      <c r="V21" s="1"/>
      <c r="W21" s="1"/>
      <c r="X21" s="1"/>
      <c r="Y21" s="1"/>
      <c r="Z21" s="1"/>
    </row>
    <row r="22" spans="1:26" ht="15.75" customHeight="1" thickBot="1">
      <c r="A22" s="9">
        <v>13</v>
      </c>
      <c r="B22" s="2" t="str">
        <f t="shared" si="13"/>
        <v>001101</v>
      </c>
      <c r="C22" s="2">
        <f t="shared" si="14"/>
        <v>170</v>
      </c>
      <c r="D22" s="9">
        <v>9</v>
      </c>
      <c r="E22" s="2" t="str">
        <f t="shared" si="15"/>
        <v>001001</v>
      </c>
      <c r="F22" s="2">
        <f t="shared" si="16"/>
        <v>82</v>
      </c>
      <c r="G22" s="19" t="s">
        <v>23</v>
      </c>
      <c r="H22" s="14" t="s">
        <v>27</v>
      </c>
      <c r="I22" s="15">
        <f t="shared" si="17"/>
        <v>9</v>
      </c>
      <c r="J22" s="1"/>
      <c r="K22" s="1"/>
      <c r="L22" s="9">
        <f t="shared" si="20"/>
        <v>15</v>
      </c>
      <c r="M22" s="2" t="str">
        <f t="shared" si="21"/>
        <v>001111</v>
      </c>
      <c r="N22" s="2">
        <f t="shared" si="22"/>
        <v>226</v>
      </c>
      <c r="O22" s="9">
        <v>13</v>
      </c>
      <c r="P22" s="37" t="str">
        <f t="shared" si="18"/>
        <v>001101</v>
      </c>
      <c r="Q22" s="40">
        <f t="shared" si="23"/>
        <v>170</v>
      </c>
      <c r="R22" s="19" t="s">
        <v>20</v>
      </c>
      <c r="S22" s="14" t="s">
        <v>21</v>
      </c>
      <c r="T22" s="15">
        <f t="shared" si="19"/>
        <v>15</v>
      </c>
      <c r="U22" s="1"/>
      <c r="V22" s="1"/>
      <c r="W22" s="1"/>
      <c r="X22" s="1">
        <f>W17</f>
        <v>0</v>
      </c>
      <c r="Y22" s="1"/>
      <c r="Z22" s="1"/>
    </row>
    <row r="23" spans="1:26" ht="15.75" customHeight="1">
      <c r="A23" s="9">
        <v>8</v>
      </c>
      <c r="B23" s="2" t="str">
        <f t="shared" si="13"/>
        <v>001000</v>
      </c>
      <c r="C23" s="2">
        <f t="shared" si="14"/>
        <v>65</v>
      </c>
      <c r="D23" s="9">
        <v>8</v>
      </c>
      <c r="E23" s="2" t="str">
        <f t="shared" si="15"/>
        <v>001000</v>
      </c>
      <c r="F23" s="2">
        <f t="shared" si="16"/>
        <v>65</v>
      </c>
      <c r="G23" s="19" t="s">
        <v>23</v>
      </c>
      <c r="H23" s="14" t="s">
        <v>27</v>
      </c>
      <c r="I23" s="15">
        <f t="shared" si="17"/>
        <v>9</v>
      </c>
      <c r="J23" s="1"/>
      <c r="K23" s="1"/>
      <c r="L23" s="9">
        <f t="shared" si="20"/>
        <v>11</v>
      </c>
      <c r="M23" s="2" t="str">
        <f t="shared" si="21"/>
        <v>001011</v>
      </c>
      <c r="N23" s="2">
        <f t="shared" si="22"/>
        <v>122</v>
      </c>
      <c r="O23" s="9">
        <v>11</v>
      </c>
      <c r="P23" s="34" t="str">
        <f t="shared" si="18"/>
        <v>001011</v>
      </c>
      <c r="Q23" s="39">
        <f t="shared" si="23"/>
        <v>122</v>
      </c>
      <c r="R23" s="19" t="s">
        <v>27</v>
      </c>
      <c r="S23" s="14" t="s">
        <v>23</v>
      </c>
      <c r="T23" s="15">
        <f t="shared" si="19"/>
        <v>11</v>
      </c>
      <c r="U23" s="1"/>
      <c r="V23" s="1"/>
      <c r="W23" s="1"/>
      <c r="X23" s="1"/>
      <c r="Y23" s="1"/>
      <c r="Z23" s="1"/>
    </row>
    <row r="24" spans="1:26" ht="15.75" customHeight="1" thickBot="1">
      <c r="A24" s="21">
        <v>9</v>
      </c>
      <c r="B24" s="22" t="str">
        <f t="shared" si="13"/>
        <v>001001</v>
      </c>
      <c r="C24" s="22">
        <f t="shared" si="14"/>
        <v>82</v>
      </c>
      <c r="D24" s="21">
        <v>7</v>
      </c>
      <c r="E24" s="22" t="str">
        <f t="shared" si="15"/>
        <v>000111</v>
      </c>
      <c r="F24" s="22">
        <f t="shared" si="16"/>
        <v>50</v>
      </c>
      <c r="G24" s="25" t="s">
        <v>34</v>
      </c>
      <c r="H24" s="26" t="s">
        <v>35</v>
      </c>
      <c r="I24" s="27">
        <f t="shared" si="17"/>
        <v>6</v>
      </c>
      <c r="J24" s="1"/>
      <c r="K24" s="1"/>
      <c r="L24" s="9">
        <f t="shared" si="20"/>
        <v>13</v>
      </c>
      <c r="M24" s="2" t="str">
        <f t="shared" si="21"/>
        <v>001101</v>
      </c>
      <c r="N24" s="2">
        <f t="shared" si="22"/>
        <v>170</v>
      </c>
      <c r="O24" s="9">
        <v>9</v>
      </c>
      <c r="P24" s="37" t="str">
        <f t="shared" si="18"/>
        <v>001001</v>
      </c>
      <c r="Q24" s="40">
        <f t="shared" si="23"/>
        <v>82</v>
      </c>
      <c r="R24" s="19" t="s">
        <v>23</v>
      </c>
      <c r="S24" s="14" t="s">
        <v>27</v>
      </c>
      <c r="T24" s="15">
        <f t="shared" si="19"/>
        <v>9</v>
      </c>
      <c r="U24" s="1"/>
      <c r="V24" s="1"/>
      <c r="W24" s="1"/>
      <c r="X24" s="1"/>
      <c r="Y24" s="1"/>
      <c r="Z24" s="1"/>
    </row>
    <row r="25" spans="1:26" ht="15.7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9">
        <f t="shared" si="20"/>
        <v>8</v>
      </c>
      <c r="M25" s="2" t="str">
        <f t="shared" si="21"/>
        <v>001000</v>
      </c>
      <c r="N25" s="2">
        <f t="shared" si="22"/>
        <v>65</v>
      </c>
      <c r="O25" s="9">
        <v>8</v>
      </c>
      <c r="P25" s="42" t="str">
        <f t="shared" si="18"/>
        <v>001000</v>
      </c>
      <c r="Q25" s="43">
        <f t="shared" si="23"/>
        <v>65</v>
      </c>
      <c r="R25" s="19" t="s">
        <v>23</v>
      </c>
      <c r="S25" s="14" t="s">
        <v>27</v>
      </c>
      <c r="T25" s="15">
        <f t="shared" si="19"/>
        <v>9</v>
      </c>
      <c r="U25" s="1"/>
      <c r="V25" s="1"/>
      <c r="W25" s="1"/>
      <c r="X25" s="1"/>
      <c r="Y25" s="1"/>
      <c r="Z25" s="1"/>
    </row>
    <row r="26" spans="1:26" ht="15.75" customHeight="1" thickBo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9">
        <f t="shared" si="20"/>
        <v>9</v>
      </c>
      <c r="M26" s="22" t="str">
        <f t="shared" si="21"/>
        <v>001001</v>
      </c>
      <c r="N26" s="2">
        <f t="shared" si="22"/>
        <v>82</v>
      </c>
      <c r="O26" s="21">
        <v>7</v>
      </c>
      <c r="P26" s="37" t="str">
        <f t="shared" si="18"/>
        <v>000111</v>
      </c>
      <c r="Q26" s="40">
        <f t="shared" si="23"/>
        <v>50</v>
      </c>
      <c r="R26" s="25" t="s">
        <v>34</v>
      </c>
      <c r="S26" s="26" t="s">
        <v>35</v>
      </c>
      <c r="T26" s="27">
        <f t="shared" si="19"/>
        <v>6</v>
      </c>
      <c r="U26" s="1"/>
      <c r="V26" s="1"/>
      <c r="W26" s="1"/>
      <c r="X26" s="1"/>
      <c r="Y26" s="1"/>
      <c r="Z26" s="1"/>
    </row>
    <row r="27" spans="1:26" ht="15.75" customHeight="1" thickBo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4" t="s">
        <v>10</v>
      </c>
      <c r="M27" s="5" t="s">
        <v>7</v>
      </c>
      <c r="N27" s="5" t="s">
        <v>8</v>
      </c>
      <c r="O27" s="6" t="s">
        <v>9</v>
      </c>
      <c r="P27" s="38" t="s">
        <v>7</v>
      </c>
      <c r="Q27" s="38" t="s">
        <v>8</v>
      </c>
      <c r="R27" s="7" t="s">
        <v>7</v>
      </c>
      <c r="S27" s="7" t="s">
        <v>7</v>
      </c>
      <c r="T27" s="8" t="s">
        <v>28</v>
      </c>
      <c r="U27" s="1"/>
      <c r="V27" s="1"/>
      <c r="W27" s="1"/>
      <c r="X27" s="1"/>
      <c r="Y27" s="1"/>
      <c r="Z27" s="1"/>
    </row>
    <row r="28" spans="1:26" ht="15.7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9">
        <f>T17</f>
        <v>29</v>
      </c>
      <c r="M28" s="2" t="str">
        <f>DEC2BIN(L28,6)</f>
        <v>011101</v>
      </c>
      <c r="N28" s="2">
        <f>$M$2*L28^2+$N$2*L28+$O$2</f>
        <v>842</v>
      </c>
      <c r="O28" s="9">
        <v>28</v>
      </c>
      <c r="P28" s="34" t="str">
        <f t="shared" ref="P28:P37" si="24">DEC2BIN(O28,6)</f>
        <v>011100</v>
      </c>
      <c r="Q28" s="39">
        <f>$M$2*O28^2+$N$2*O28+$O$2</f>
        <v>785</v>
      </c>
      <c r="R28" s="19" t="s">
        <v>29</v>
      </c>
      <c r="S28" s="14" t="s">
        <v>30</v>
      </c>
      <c r="T28" s="15">
        <f t="shared" ref="T28:T37" si="25">BIN2DEC(S28)</f>
        <v>29</v>
      </c>
      <c r="U28" s="1"/>
      <c r="V28" s="1"/>
      <c r="W28" s="1"/>
      <c r="X28" s="1"/>
      <c r="Y28" s="1"/>
      <c r="Z28" s="1"/>
    </row>
    <row r="29" spans="1:26" ht="15.75" customHeight="1" thickBo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9">
        <f t="shared" ref="L29:L37" si="26">T18</f>
        <v>26</v>
      </c>
      <c r="M29" s="2" t="str">
        <f t="shared" ref="M29:M37" si="27">DEC2BIN(L29,6)</f>
        <v>011010</v>
      </c>
      <c r="N29" s="2">
        <f t="shared" ref="N29:N37" si="28">$M$2*L29^2+$N$2*L29+$O$2</f>
        <v>677</v>
      </c>
      <c r="O29" s="9">
        <v>27</v>
      </c>
      <c r="P29" s="35" t="str">
        <f t="shared" si="24"/>
        <v>011011</v>
      </c>
      <c r="Q29" s="36">
        <f t="shared" ref="Q29:Q37" si="29">$M$2*O29^2+$N$2*O29+$O$2</f>
        <v>730</v>
      </c>
      <c r="R29" s="19" t="s">
        <v>31</v>
      </c>
      <c r="S29" s="14" t="s">
        <v>32</v>
      </c>
      <c r="T29" s="15">
        <f t="shared" si="25"/>
        <v>26</v>
      </c>
      <c r="U29" s="1"/>
      <c r="V29" s="1"/>
      <c r="W29" s="1"/>
      <c r="X29" s="1"/>
      <c r="Y29" s="1"/>
      <c r="Z29" s="1"/>
    </row>
    <row r="30" spans="1:26" ht="15.7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9">
        <f t="shared" si="26"/>
        <v>12</v>
      </c>
      <c r="M30" s="2" t="str">
        <f t="shared" si="27"/>
        <v>001100</v>
      </c>
      <c r="N30" s="2">
        <f t="shared" si="28"/>
        <v>145</v>
      </c>
      <c r="O30" s="9">
        <v>15</v>
      </c>
      <c r="P30" s="34" t="str">
        <f t="shared" si="24"/>
        <v>001111</v>
      </c>
      <c r="Q30" s="39">
        <f t="shared" si="29"/>
        <v>226</v>
      </c>
      <c r="R30" s="19" t="s">
        <v>18</v>
      </c>
      <c r="S30" s="14" t="s">
        <v>33</v>
      </c>
      <c r="T30" s="15">
        <f t="shared" si="25"/>
        <v>12</v>
      </c>
      <c r="U30" s="1"/>
      <c r="V30" s="1"/>
      <c r="W30" s="1"/>
      <c r="X30" s="1"/>
      <c r="Y30" s="1"/>
      <c r="Z30" s="1"/>
    </row>
    <row r="31" spans="1:26" ht="15.75" customHeight="1" thickBo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9">
        <f t="shared" si="26"/>
        <v>13</v>
      </c>
      <c r="M31" s="2" t="str">
        <f t="shared" si="27"/>
        <v>001101</v>
      </c>
      <c r="N31" s="2">
        <f t="shared" si="28"/>
        <v>170</v>
      </c>
      <c r="O31" s="9">
        <v>14</v>
      </c>
      <c r="P31" s="37" t="str">
        <f t="shared" si="24"/>
        <v>001110</v>
      </c>
      <c r="Q31" s="40">
        <f t="shared" si="29"/>
        <v>197</v>
      </c>
      <c r="R31" s="19" t="s">
        <v>21</v>
      </c>
      <c r="S31" s="14" t="s">
        <v>20</v>
      </c>
      <c r="T31" s="15">
        <f t="shared" si="25"/>
        <v>13</v>
      </c>
      <c r="U31" s="1"/>
      <c r="V31" s="1"/>
      <c r="W31" s="1"/>
      <c r="X31" s="1"/>
      <c r="Y31" s="1"/>
      <c r="Z31" s="1"/>
    </row>
    <row r="32" spans="1:26" ht="15.7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9">
        <f t="shared" si="26"/>
        <v>15</v>
      </c>
      <c r="M32" s="2" t="str">
        <f t="shared" si="27"/>
        <v>001111</v>
      </c>
      <c r="N32" s="2">
        <f t="shared" si="28"/>
        <v>226</v>
      </c>
      <c r="O32" s="9">
        <v>13</v>
      </c>
      <c r="P32" s="34" t="str">
        <f t="shared" si="24"/>
        <v>001101</v>
      </c>
      <c r="Q32" s="39">
        <f t="shared" si="29"/>
        <v>170</v>
      </c>
      <c r="R32" s="19" t="s">
        <v>20</v>
      </c>
      <c r="S32" s="14" t="s">
        <v>21</v>
      </c>
      <c r="T32" s="15">
        <f t="shared" si="25"/>
        <v>15</v>
      </c>
      <c r="U32" s="1"/>
      <c r="V32" s="1"/>
      <c r="W32" s="1"/>
      <c r="X32" s="1"/>
      <c r="Y32" s="1"/>
      <c r="Z32" s="1"/>
    </row>
    <row r="33" spans="1:26" ht="15.75" customHeight="1" thickBo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9">
        <f t="shared" si="26"/>
        <v>15</v>
      </c>
      <c r="M33" s="2" t="str">
        <f t="shared" si="27"/>
        <v>001111</v>
      </c>
      <c r="N33" s="2">
        <f t="shared" si="28"/>
        <v>226</v>
      </c>
      <c r="O33" s="9">
        <v>13</v>
      </c>
      <c r="P33" s="37" t="str">
        <f t="shared" si="24"/>
        <v>001101</v>
      </c>
      <c r="Q33" s="40">
        <f t="shared" si="29"/>
        <v>170</v>
      </c>
      <c r="R33" s="19" t="s">
        <v>20</v>
      </c>
      <c r="S33" s="14" t="s">
        <v>21</v>
      </c>
      <c r="T33" s="15">
        <f t="shared" si="25"/>
        <v>15</v>
      </c>
      <c r="U33" s="1"/>
      <c r="V33" s="1"/>
      <c r="W33" s="1"/>
      <c r="X33" s="1"/>
      <c r="Y33" s="1"/>
      <c r="Z33" s="1"/>
    </row>
    <row r="34" spans="1:26" ht="15.7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9">
        <f t="shared" si="26"/>
        <v>11</v>
      </c>
      <c r="M34" s="2" t="str">
        <f t="shared" si="27"/>
        <v>001011</v>
      </c>
      <c r="N34" s="2">
        <f t="shared" si="28"/>
        <v>122</v>
      </c>
      <c r="O34" s="9">
        <v>11</v>
      </c>
      <c r="P34" s="34" t="str">
        <f t="shared" si="24"/>
        <v>001011</v>
      </c>
      <c r="Q34" s="39">
        <f t="shared" si="29"/>
        <v>122</v>
      </c>
      <c r="R34" s="19" t="s">
        <v>27</v>
      </c>
      <c r="S34" s="14" t="s">
        <v>23</v>
      </c>
      <c r="T34" s="15">
        <f t="shared" si="25"/>
        <v>11</v>
      </c>
      <c r="U34" s="1"/>
      <c r="V34" s="1"/>
      <c r="W34" s="1"/>
      <c r="X34" s="1"/>
      <c r="Y34" s="1"/>
      <c r="Z34" s="1"/>
    </row>
    <row r="35" spans="1:26" ht="15.75" customHeight="1" thickBo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9">
        <f t="shared" si="26"/>
        <v>9</v>
      </c>
      <c r="M35" s="2" t="str">
        <f t="shared" si="27"/>
        <v>001001</v>
      </c>
      <c r="N35" s="2">
        <f t="shared" si="28"/>
        <v>82</v>
      </c>
      <c r="O35" s="9">
        <v>9</v>
      </c>
      <c r="P35" s="37" t="str">
        <f t="shared" si="24"/>
        <v>001001</v>
      </c>
      <c r="Q35" s="40">
        <f t="shared" si="29"/>
        <v>82</v>
      </c>
      <c r="R35" s="19" t="s">
        <v>23</v>
      </c>
      <c r="S35" s="14" t="s">
        <v>27</v>
      </c>
      <c r="T35" s="15">
        <f t="shared" si="25"/>
        <v>9</v>
      </c>
      <c r="U35" s="1"/>
      <c r="V35" s="1"/>
      <c r="W35" s="1"/>
      <c r="X35" s="1"/>
      <c r="Y35" s="1"/>
      <c r="Z35" s="1"/>
    </row>
    <row r="36" spans="1:26" ht="15.7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9">
        <f t="shared" si="26"/>
        <v>9</v>
      </c>
      <c r="M36" s="2" t="str">
        <f t="shared" si="27"/>
        <v>001001</v>
      </c>
      <c r="N36" s="2">
        <f t="shared" si="28"/>
        <v>82</v>
      </c>
      <c r="O36" s="9">
        <v>8</v>
      </c>
      <c r="P36" s="42" t="str">
        <f t="shared" si="24"/>
        <v>001000</v>
      </c>
      <c r="Q36" s="43">
        <f t="shared" si="29"/>
        <v>65</v>
      </c>
      <c r="R36" s="19" t="s">
        <v>23</v>
      </c>
      <c r="S36" s="14" t="s">
        <v>27</v>
      </c>
      <c r="T36" s="15">
        <f t="shared" si="25"/>
        <v>9</v>
      </c>
      <c r="U36" s="1"/>
      <c r="V36" s="1"/>
      <c r="W36" s="1"/>
      <c r="X36" s="1"/>
      <c r="Y36" s="1"/>
      <c r="Z36" s="1"/>
    </row>
    <row r="37" spans="1:26" ht="15.75" customHeight="1" thickBo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9">
        <f t="shared" si="26"/>
        <v>6</v>
      </c>
      <c r="M37" s="22" t="str">
        <f t="shared" si="27"/>
        <v>000110</v>
      </c>
      <c r="N37" s="2">
        <f t="shared" si="28"/>
        <v>37</v>
      </c>
      <c r="O37" s="21">
        <v>7</v>
      </c>
      <c r="P37" s="37" t="str">
        <f t="shared" si="24"/>
        <v>000111</v>
      </c>
      <c r="Q37" s="40">
        <f t="shared" si="29"/>
        <v>50</v>
      </c>
      <c r="R37" s="25" t="s">
        <v>34</v>
      </c>
      <c r="S37" s="26" t="s">
        <v>35</v>
      </c>
      <c r="T37" s="27">
        <f t="shared" si="25"/>
        <v>6</v>
      </c>
      <c r="U37" s="1"/>
      <c r="V37" s="1"/>
      <c r="W37" s="1"/>
      <c r="X37" s="1"/>
      <c r="Y37" s="1"/>
      <c r="Z37" s="1"/>
    </row>
    <row r="38" spans="1:26" ht="15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sortState xmlns:xlrd2="http://schemas.microsoft.com/office/spreadsheetml/2017/richdata2" ref="O6:O15">
    <sortCondition descending="1" ref="O6:O15"/>
  </sortState>
  <mergeCells count="2">
    <mergeCell ref="A2:C2"/>
    <mergeCell ref="L4:N4"/>
  </mergeCells>
  <pageMargins left="0.7" right="0.7" top="0.75" bottom="0.75" header="0" footer="0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BASE DE DATOS</dc:creator>
  <cp:lastModifiedBy>jorge fernandez</cp:lastModifiedBy>
  <dcterms:created xsi:type="dcterms:W3CDTF">2024-03-28T14:24:37Z</dcterms:created>
  <dcterms:modified xsi:type="dcterms:W3CDTF">2024-05-19T23:00:36Z</dcterms:modified>
</cp:coreProperties>
</file>